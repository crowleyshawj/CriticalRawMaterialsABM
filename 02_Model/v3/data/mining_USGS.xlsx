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rowleyshaw/Documents/MASTER/02_Model/v3/data/"/>
    </mc:Choice>
  </mc:AlternateContent>
  <xr:revisionPtr revIDLastSave="0" documentId="8_{1A43FD37-57BC-1644-8C3E-92F4DF29C2B3}" xr6:coauthVersionLast="47" xr6:coauthVersionMax="47" xr10:uidLastSave="{00000000-0000-0000-0000-000000000000}"/>
  <bookViews>
    <workbookView xWindow="2300" yWindow="600" windowWidth="36100" windowHeight="19760" xr2:uid="{F0563E14-C5BB-B448-B03B-97936D882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 s="1"/>
  <c r="C13" i="1"/>
  <c r="F3" i="1"/>
  <c r="F4" i="1"/>
  <c r="F5" i="1"/>
  <c r="F6" i="1"/>
  <c r="F7" i="1"/>
  <c r="F8" i="1"/>
  <c r="F9" i="1"/>
  <c r="F10" i="1"/>
  <c r="F11" i="1"/>
  <c r="F2" i="1"/>
  <c r="E12" i="1"/>
</calcChain>
</file>

<file path=xl/sharedStrings.xml><?xml version="1.0" encoding="utf-8"?>
<sst xmlns="http://schemas.openxmlformats.org/spreadsheetml/2006/main" count="16" uniqueCount="16">
  <si>
    <t>Country</t>
  </si>
  <si>
    <t>Production_2024</t>
  </si>
  <si>
    <t>Production_2025</t>
  </si>
  <si>
    <t>Reserves</t>
  </si>
  <si>
    <t>Resources</t>
  </si>
  <si>
    <t>United States</t>
  </si>
  <si>
    <t>Argentina</t>
  </si>
  <si>
    <t>Australia</t>
  </si>
  <si>
    <t>Brazil</t>
  </si>
  <si>
    <t>Canada</t>
  </si>
  <si>
    <t>Chile</t>
  </si>
  <si>
    <t>China</t>
  </si>
  <si>
    <t>Mali</t>
  </si>
  <si>
    <t>Portugal</t>
  </si>
  <si>
    <t>Zimbabwe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</si>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</sst>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5878-014F-A74F-A3DE-63E138AD92BA}">
  <dimension ref="A1:J13"/>
  <sheetViews>
    <sheetView tabSelected="1" workbookViewId="0">
      <selection activeCell="D1" sqref="D1"/>
    </sheetView>
  </sheetViews>
  <sheetFormatPr baseColWidth="10" defaultRowHeight="16" x14ac:dyDescent="0.2"/>
  <cols>
    <col min="5" max="5" width="11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J1">
        <v>4</v>
      </c>
    </row>
    <row r="2" spans="1:10" x14ac:dyDescent="0.2">
      <c r="A2" t="s">
        <v>5</v>
      </c>
      <c r="B2" s="1">
        <v>0</v>
      </c>
      <c r="C2" s="1">
        <v>0</v>
      </c>
      <c r="D2" s="1">
        <v>4400000</v>
      </c>
      <c r="E2" s="1">
        <v>30000000</v>
      </c>
      <c r="F2" s="1">
        <f>RANK(C2,$C$2:$C$12)</f>
        <v>10</v>
      </c>
      <c r="G2">
        <f>SUMIFS(C2:C12,F2:F12,"&lt;"&amp;J1)</f>
        <v>210000</v>
      </c>
    </row>
    <row r="3" spans="1:10" x14ac:dyDescent="0.2">
      <c r="A3" t="s">
        <v>6</v>
      </c>
      <c r="B3" s="1">
        <v>13800</v>
      </c>
      <c r="C3" s="1">
        <v>2300</v>
      </c>
      <c r="D3" s="1">
        <v>4400000</v>
      </c>
      <c r="E3" s="1">
        <v>28000000</v>
      </c>
      <c r="F3" s="1">
        <f t="shared" ref="F3:F11" si="0">RANK(C3,$C$2:$C$12)</f>
        <v>8</v>
      </c>
      <c r="G3" s="3">
        <f>G2/C13</f>
        <v>0.78451882845188281</v>
      </c>
    </row>
    <row r="4" spans="1:10" x14ac:dyDescent="0.2">
      <c r="A4" t="s">
        <v>7</v>
      </c>
      <c r="B4" s="1">
        <v>82700</v>
      </c>
      <c r="C4" s="1">
        <v>92000</v>
      </c>
      <c r="D4" s="1">
        <v>8400000</v>
      </c>
      <c r="E4" s="1">
        <v>10000000</v>
      </c>
      <c r="F4" s="1">
        <f t="shared" si="0"/>
        <v>1</v>
      </c>
    </row>
    <row r="5" spans="1:10" x14ac:dyDescent="0.2">
      <c r="A5" t="s">
        <v>8</v>
      </c>
      <c r="B5" s="1">
        <v>10200</v>
      </c>
      <c r="C5" s="1">
        <v>12000</v>
      </c>
      <c r="D5" s="1">
        <v>540000</v>
      </c>
      <c r="E5" s="1">
        <v>1400000</v>
      </c>
      <c r="F5" s="1">
        <f t="shared" si="0"/>
        <v>5</v>
      </c>
    </row>
    <row r="6" spans="1:10" x14ac:dyDescent="0.2">
      <c r="A6" t="s">
        <v>9</v>
      </c>
      <c r="B6" s="1">
        <v>4820</v>
      </c>
      <c r="C6" s="1">
        <v>5600</v>
      </c>
      <c r="D6" s="1">
        <v>1600000</v>
      </c>
      <c r="E6" s="1">
        <v>8100000</v>
      </c>
      <c r="F6" s="1">
        <f t="shared" si="0"/>
        <v>7</v>
      </c>
    </row>
    <row r="7" spans="1:10" x14ac:dyDescent="0.2">
      <c r="A7" t="s">
        <v>10</v>
      </c>
      <c r="B7" s="1">
        <v>48900</v>
      </c>
      <c r="C7" s="1">
        <v>56000</v>
      </c>
      <c r="D7" s="1">
        <v>9200000</v>
      </c>
      <c r="E7" s="1">
        <v>13000000</v>
      </c>
      <c r="F7" s="1">
        <f t="shared" si="0"/>
        <v>3</v>
      </c>
    </row>
    <row r="8" spans="1:10" x14ac:dyDescent="0.2">
      <c r="A8" t="s">
        <v>11</v>
      </c>
      <c r="B8" s="1">
        <v>41400</v>
      </c>
      <c r="C8" s="1">
        <v>62000</v>
      </c>
      <c r="D8" s="1">
        <v>4600000</v>
      </c>
      <c r="E8" s="1">
        <v>10000000</v>
      </c>
      <c r="F8" s="1">
        <f t="shared" si="0"/>
        <v>2</v>
      </c>
    </row>
    <row r="9" spans="1:10" x14ac:dyDescent="0.2">
      <c r="A9" t="s">
        <v>12</v>
      </c>
      <c r="B9" s="1">
        <v>770</v>
      </c>
      <c r="C9" s="1">
        <v>9400</v>
      </c>
      <c r="D9" s="1">
        <v>370000</v>
      </c>
      <c r="E9" s="1">
        <v>1200000</v>
      </c>
      <c r="F9" s="1">
        <f t="shared" si="0"/>
        <v>6</v>
      </c>
    </row>
    <row r="10" spans="1:10" x14ac:dyDescent="0.2">
      <c r="A10" t="s">
        <v>13</v>
      </c>
      <c r="B10" s="1">
        <v>380</v>
      </c>
      <c r="C10" s="1">
        <v>380</v>
      </c>
      <c r="D10" s="1">
        <v>60000</v>
      </c>
      <c r="E10" s="1">
        <v>260000</v>
      </c>
      <c r="F10" s="1">
        <f t="shared" si="0"/>
        <v>9</v>
      </c>
    </row>
    <row r="11" spans="1:10" x14ac:dyDescent="0.2">
      <c r="A11" t="s">
        <v>14</v>
      </c>
      <c r="B11" s="1">
        <v>20000</v>
      </c>
      <c r="C11" s="1">
        <v>28000</v>
      </c>
      <c r="D11" s="1">
        <v>500000</v>
      </c>
      <c r="E11" s="1">
        <v>860000</v>
      </c>
      <c r="F11" s="1">
        <f t="shared" si="0"/>
        <v>4</v>
      </c>
    </row>
    <row r="12" spans="1:10" x14ac:dyDescent="0.2">
      <c r="A12" t="s">
        <v>15</v>
      </c>
      <c r="B12" s="1">
        <v>0</v>
      </c>
      <c r="C12" s="1">
        <v>0</v>
      </c>
      <c r="D12" s="1">
        <v>2400000</v>
      </c>
      <c r="E12" s="1">
        <f>120000000-SUM(E3:E11)</f>
        <v>47180000</v>
      </c>
      <c r="F12" s="1"/>
    </row>
    <row r="13" spans="1:10" x14ac:dyDescent="0.2">
      <c r="C13" s="2">
        <f>SUM(C2:C12)</f>
        <v>267680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Crowley-Shaw</dc:creator>
  <cp:lastModifiedBy>Joseph Crowley-Shaw</cp:lastModifiedBy>
  <dcterms:created xsi:type="dcterms:W3CDTF">2026-08-05T07:32:21Z</dcterms:created>
  <dcterms:modified xsi:type="dcterms:W3CDTF">2026-10-06T19:18:13Z</dcterms:modified>
</cp:coreProperties>
</file>